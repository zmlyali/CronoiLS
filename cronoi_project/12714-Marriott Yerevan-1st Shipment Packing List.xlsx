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za.medar\Desktop\"/>
    </mc:Choice>
  </mc:AlternateContent>
  <xr:revisionPtr revIDLastSave="0" documentId="13_ncr:1_{78E31AA7-B2D7-4EC3-982F-717101AA6CA5}" xr6:coauthVersionLast="36" xr6:coauthVersionMax="36" xr10:uidLastSave="{00000000-0000-0000-0000-000000000000}"/>
  <bookViews>
    <workbookView xWindow="0" yWindow="0" windowWidth="23040" windowHeight="8880" xr2:uid="{FA197D17-3D1E-4334-B41B-BD19B09B8C7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D34" i="1"/>
  <c r="H34" i="1"/>
  <c r="I34" i="1"/>
  <c r="J34" i="1"/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4" i="1"/>
  <c r="H31" i="1" l="1"/>
  <c r="H30" i="1" l="1"/>
  <c r="H27" i="1" l="1"/>
  <c r="H28" i="1"/>
  <c r="H29" i="1"/>
  <c r="H15" i="1"/>
  <c r="H16" i="1"/>
  <c r="H17" i="1"/>
  <c r="H18" i="1"/>
  <c r="H19" i="1"/>
  <c r="H20" i="1"/>
  <c r="H21" i="1"/>
  <c r="H22" i="1"/>
  <c r="H23" i="1"/>
  <c r="H24" i="1"/>
  <c r="H25" i="1"/>
  <c r="H26" i="1"/>
  <c r="H14" i="1" l="1"/>
  <c r="C39" i="1" l="1"/>
  <c r="C37" i="1"/>
  <c r="C38" i="1"/>
</calcChain>
</file>

<file path=xl/sharedStrings.xml><?xml version="1.0" encoding="utf-8"?>
<sst xmlns="http://schemas.openxmlformats.org/spreadsheetml/2006/main" count="72" uniqueCount="70">
  <si>
    <t xml:space="preserve"> PACKING LIST</t>
  </si>
  <si>
    <t>DATE:</t>
  </si>
  <si>
    <t>CONSIGNEE:</t>
  </si>
  <si>
    <t>SELLER / SHIPPER</t>
  </si>
  <si>
    <t>ERŞAH MAD.EŞYA SAN.TIC.LTD.ŞTI</t>
  </si>
  <si>
    <t>BOĞAZKÖY ATATÜRK MAH.YILDIRIM BEYAZIT CAD.</t>
  </si>
  <si>
    <t>NO:194  ARNAVUTKÖY -ISTANBUL TURKEY</t>
  </si>
  <si>
    <t>TEL: 0212 685 01 42 /43</t>
  </si>
  <si>
    <t>FAX: 0212 685 01 45</t>
  </si>
  <si>
    <t>CODE</t>
  </si>
  <si>
    <t>DESCRIPTION</t>
  </si>
  <si>
    <t>QUANTITY</t>
  </si>
  <si>
    <t>WIDTH</t>
  </si>
  <si>
    <t>LENGTH</t>
  </si>
  <si>
    <t>HEIGHT</t>
  </si>
  <si>
    <t>TOTAL</t>
  </si>
  <si>
    <t>VOLUME</t>
  </si>
  <si>
    <t xml:space="preserve"> GRO.KG</t>
  </si>
  <si>
    <t>NET KG</t>
  </si>
  <si>
    <t>THE GOODS ARE OF TURKISH ORIGIN</t>
  </si>
  <si>
    <t xml:space="preserve"> </t>
  </si>
  <si>
    <t>OF PACKS</t>
  </si>
  <si>
    <t>REF:</t>
  </si>
  <si>
    <t>INVOICE NO:IHR2024000000***</t>
  </si>
  <si>
    <t>QUANTITY OF PACKING</t>
  </si>
  <si>
    <t>TOTAL GROSS WEIGHT</t>
  </si>
  <si>
    <t xml:space="preserve">TOTAL NET  WEIGHT </t>
  </si>
  <si>
    <t xml:space="preserve">CONTAINER NUMBER </t>
  </si>
  <si>
    <t xml:space="preserve">SEAL   NUMBER  </t>
  </si>
  <si>
    <t>12714-008</t>
  </si>
  <si>
    <t>12714-009</t>
  </si>
  <si>
    <t>12714-012</t>
  </si>
  <si>
    <t>12714-013</t>
  </si>
  <si>
    <t>12714-014</t>
  </si>
  <si>
    <t>12714-030</t>
  </si>
  <si>
    <t>12714-015</t>
  </si>
  <si>
    <t>12714-017</t>
  </si>
  <si>
    <t>12714-032</t>
  </si>
  <si>
    <t>12714-018</t>
  </si>
  <si>
    <t>12714-019</t>
  </si>
  <si>
    <t>12714-020</t>
  </si>
  <si>
    <t>12714-034</t>
  </si>
  <si>
    <t>12714-021</t>
  </si>
  <si>
    <t>12714-022</t>
  </si>
  <si>
    <t>12714-023</t>
  </si>
  <si>
    <t>12714-008-GR2.BF.03-TV Frame</t>
  </si>
  <si>
    <t>12714-009-GR2.BF.04-TV Unit</t>
  </si>
  <si>
    <t>12714-012-GR2.BF.07-Mirror</t>
  </si>
  <si>
    <t>12714-013-GR2.BF.08-Hanger</t>
  </si>
  <si>
    <t>12714-015-GR2.BF.10-Hanger</t>
  </si>
  <si>
    <t>12714-014-GR2.BF.09-Wooden Wall Cladding Left</t>
  </si>
  <si>
    <t>12714-016-GR2.BF.11-Luggage Rack</t>
  </si>
  <si>
    <t>12714-017-GR2.BF.12-Wardrobe Left</t>
  </si>
  <si>
    <t>12714-018-GR2.BF.13-Laminate Cladding</t>
  </si>
  <si>
    <t>12714-019-GR2.BF.14-Mirror</t>
  </si>
  <si>
    <t>12714-020-GR2.BF.15-Sink Counter Left</t>
  </si>
  <si>
    <t>12714-021-GR2.BF.16A-Wooden Wall Cladding</t>
  </si>
  <si>
    <t>12714-022-GR2.BF.16B-Wooden Wall Cladding</t>
  </si>
  <si>
    <t>12714-023-GR2.BF.17-Sikirting</t>
  </si>
  <si>
    <t>12714-030-GR2.BF.09-Wooden Wall Cladding Right</t>
  </si>
  <si>
    <t>12714-032-GR2.BF.12-Wardrobe Right</t>
  </si>
  <si>
    <t>12714-034-GR2.BF.15-Sink Counter Right</t>
  </si>
  <si>
    <t>12714-016</t>
  </si>
  <si>
    <t>12714-001</t>
  </si>
  <si>
    <t>12714-001-GR2.BF.01A-Headboard Right</t>
  </si>
  <si>
    <t>12714-002</t>
  </si>
  <si>
    <t>12714-002-GR2.BF.01B-Headboard</t>
  </si>
  <si>
    <t>12714-037</t>
  </si>
  <si>
    <t>12714-037-GR2.BF.01A-Headboard Left</t>
  </si>
  <si>
    <t>kasa iç ölçü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</si>
</sst>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/mm/yyyy;@"/>
    <numFmt numFmtId="165" formatCode="@* &quot;:&quot;"/>
    <numFmt numFmtId="166" formatCode="#\ &quot;KG&quot;"/>
    <numFmt numFmtId="167" formatCode="#\ &quot;PACKING&quot;"/>
    <numFmt numFmtId="168" formatCode="_-* #,##0_-;\-* #,##0_-;_-* &quot;-&quot;??_-;_-@_-"/>
  </numFmts>
  <fonts count="1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name val="Arial Black"/>
      <family val="2"/>
      <charset val="162"/>
    </font>
    <font>
      <b/>
      <sz val="10"/>
      <name val="Arial"/>
      <family val="2"/>
      <charset val="162"/>
    </font>
    <font>
      <b/>
      <sz val="10"/>
      <name val="Arial Tur"/>
      <family val="2"/>
      <charset val="162"/>
    </font>
    <font>
      <b/>
      <i/>
      <sz val="10"/>
      <name val="Times New Roman Tur"/>
      <family val="1"/>
      <charset val="162"/>
    </font>
    <font>
      <b/>
      <sz val="12"/>
      <name val="Arial Tur"/>
      <family val="2"/>
      <charset val="162"/>
    </font>
    <font>
      <sz val="11"/>
      <name val="Arial Tur"/>
      <charset val="162"/>
    </font>
    <font>
      <sz val="10"/>
      <name val="Arial Tur"/>
      <charset val="162"/>
    </font>
    <font>
      <b/>
      <sz val="10"/>
      <name val="Times New Roman"/>
      <family val="1"/>
      <charset val="162"/>
    </font>
    <font>
      <sz val="10"/>
      <name val="Times New Roman Tur"/>
      <family val="1"/>
      <charset val="162"/>
    </font>
    <font>
      <b/>
      <sz val="10"/>
      <name val="Arial Tur"/>
      <charset val="162"/>
    </font>
    <font>
      <b/>
      <sz val="10"/>
      <name val="Times New Roman Tur"/>
      <family val="1"/>
      <charset val="162"/>
    </font>
    <font>
      <sz val="11"/>
      <color rgb="FF1F497D"/>
      <name val="Calibri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65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Fill="1"/>
    <xf numFmtId="0" fontId="0" fillId="0" borderId="0" xfId="0" applyFill="1"/>
    <xf numFmtId="0" fontId="6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Fill="1"/>
    <xf numFmtId="0" fontId="5" fillId="0" borderId="0" xfId="0" applyFont="1" applyAlignment="1">
      <alignment horizontal="left"/>
    </xf>
    <xf numFmtId="0" fontId="9" fillId="0" borderId="0" xfId="0" applyFont="1" applyFill="1"/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right"/>
    </xf>
    <xf numFmtId="0" fontId="7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4" fontId="5" fillId="0" borderId="0" xfId="0" applyNumberFormat="1" applyFont="1" applyBorder="1"/>
    <xf numFmtId="0" fontId="13" fillId="0" borderId="0" xfId="0" applyFont="1" applyBorder="1"/>
    <xf numFmtId="0" fontId="14" fillId="0" borderId="0" xfId="0" applyFont="1"/>
    <xf numFmtId="0" fontId="15" fillId="0" borderId="0" xfId="0" applyFont="1"/>
    <xf numFmtId="0" fontId="15" fillId="0" borderId="0" xfId="0" applyFont="1" applyFill="1"/>
    <xf numFmtId="0" fontId="2" fillId="0" borderId="0" xfId="0" applyFont="1"/>
    <xf numFmtId="0" fontId="5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7" fillId="0" borderId="0" xfId="0" applyFont="1" applyFill="1"/>
    <xf numFmtId="0" fontId="8" fillId="0" borderId="0" xfId="0" applyFont="1" applyFill="1"/>
    <xf numFmtId="0" fontId="0" fillId="0" borderId="1" xfId="0" applyBorder="1" applyAlignment="1">
      <alignment horizontal="center" vertical="center"/>
    </xf>
    <xf numFmtId="2" fontId="12" fillId="0" borderId="1" xfId="1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/>
    <xf numFmtId="165" fontId="4" fillId="0" borderId="2" xfId="0" applyNumberFormat="1" applyFont="1" applyBorder="1"/>
    <xf numFmtId="1" fontId="0" fillId="0" borderId="0" xfId="0" applyNumberFormat="1"/>
    <xf numFmtId="0" fontId="0" fillId="0" borderId="4" xfId="0" applyBorder="1" applyAlignment="1">
      <alignment horizontal="left" vertical="center"/>
    </xf>
    <xf numFmtId="0" fontId="17" fillId="0" borderId="0" xfId="2" applyFill="1"/>
    <xf numFmtId="1" fontId="0" fillId="0" borderId="1" xfId="0" applyNumberFormat="1" applyBorder="1" applyAlignment="1">
      <alignment horizontal="center" vertical="center"/>
    </xf>
    <xf numFmtId="168" fontId="12" fillId="0" borderId="1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167" fontId="4" fillId="0" borderId="2" xfId="0" applyNumberFormat="1" applyFont="1" applyFill="1" applyBorder="1" applyAlignment="1">
      <alignment horizontal="left"/>
    </xf>
    <xf numFmtId="167" fontId="4" fillId="0" borderId="3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6" fontId="4" fillId="0" borderId="2" xfId="0" applyNumberFormat="1" applyFont="1" applyFill="1" applyBorder="1" applyAlignment="1">
      <alignment horizontal="left"/>
    </xf>
    <xf numFmtId="166" fontId="4" fillId="0" borderId="3" xfId="0" applyNumberFormat="1" applyFont="1" applyFill="1" applyBorder="1" applyAlignment="1">
      <alignment horizontal="left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center" vertical="center"/>
    </xf>
  </cellXfs>
  <cellStyles count="3">
    <cellStyle name="Köprü" xfId="2" builtinId="8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54FE-898B-4A66-9B9F-C1F7B894DA9D}">
  <dimension ref="A1:K44"/>
  <sheetViews>
    <sheetView tabSelected="1" topLeftCell="A10" zoomScale="115" zoomScaleNormal="115" workbookViewId="0">
      <selection activeCell="H19" sqref="H19"/>
    </sheetView>
  </sheetViews>
  <sheetFormatPr defaultRowHeight="14.4"/>
  <cols>
    <col min="1" max="1" width="10.44140625" style="29" bestFit="1" customWidth="1"/>
    <col min="2" max="2" width="45" bestFit="1" customWidth="1"/>
    <col min="3" max="3" width="9.88671875" customWidth="1"/>
    <col min="4" max="4" width="10.5546875" customWidth="1"/>
    <col min="9" max="10" width="10.44140625" bestFit="1" customWidth="1"/>
    <col min="11" max="11" width="10.6640625" bestFit="1" customWidth="1"/>
    <col min="14" max="14" width="45" bestFit="1" customWidth="1"/>
  </cols>
  <sheetData>
    <row r="1" spans="1:11" ht="2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>
      <c r="G2" s="30"/>
      <c r="H2" s="1" t="s">
        <v>1</v>
      </c>
      <c r="I2" s="49">
        <v>45489</v>
      </c>
      <c r="J2" s="49"/>
    </row>
    <row r="3" spans="1:11">
      <c r="C3" s="2"/>
      <c r="D3" s="2"/>
      <c r="E3" s="2"/>
      <c r="G3" s="52" t="s">
        <v>23</v>
      </c>
      <c r="H3" s="52"/>
      <c r="I3" s="52"/>
      <c r="J3" s="52"/>
    </row>
    <row r="4" spans="1:11">
      <c r="G4" s="30"/>
      <c r="I4" s="53" t="s">
        <v>22</v>
      </c>
      <c r="J4" s="53"/>
    </row>
    <row r="5" spans="1:11" ht="15.6">
      <c r="B5" s="5" t="s">
        <v>2</v>
      </c>
      <c r="C5" s="31"/>
      <c r="D5" s="7"/>
      <c r="E5" s="7"/>
      <c r="F5" s="7"/>
      <c r="G5" s="7"/>
      <c r="H5" s="7"/>
      <c r="I5" s="6"/>
    </row>
    <row r="6" spans="1:11">
      <c r="B6" s="8"/>
      <c r="C6" s="32"/>
      <c r="D6" s="9"/>
      <c r="E6" s="9"/>
      <c r="F6" s="9"/>
      <c r="G6" s="7"/>
      <c r="H6" s="9"/>
      <c r="I6" s="10"/>
    </row>
    <row r="7" spans="1:11">
      <c r="B7" s="8"/>
      <c r="C7" s="39"/>
      <c r="D7" s="9"/>
      <c r="E7" s="9"/>
      <c r="F7" s="9"/>
      <c r="G7" s="7"/>
      <c r="H7" s="3"/>
    </row>
    <row r="8" spans="1:11" ht="15.6">
      <c r="B8" s="12" t="s">
        <v>3</v>
      </c>
      <c r="C8" s="13" t="s">
        <v>4</v>
      </c>
      <c r="D8" s="6"/>
      <c r="E8" s="6"/>
      <c r="F8" s="6"/>
      <c r="G8" s="6"/>
      <c r="H8" s="4"/>
    </row>
    <row r="9" spans="1:11">
      <c r="B9" s="11"/>
      <c r="C9" s="10" t="s">
        <v>5</v>
      </c>
      <c r="D9" s="10"/>
      <c r="E9" s="10"/>
      <c r="F9" s="10"/>
      <c r="G9" s="6"/>
      <c r="H9" s="4"/>
    </row>
    <row r="10" spans="1:11">
      <c r="B10" s="11"/>
      <c r="C10" s="10" t="s">
        <v>6</v>
      </c>
      <c r="D10" s="10"/>
      <c r="E10" s="10"/>
      <c r="F10" s="10"/>
      <c r="G10" s="6"/>
      <c r="H10" s="4"/>
    </row>
    <row r="11" spans="1:11">
      <c r="B11" s="8"/>
      <c r="C11" s="10" t="s">
        <v>7</v>
      </c>
      <c r="D11" s="10"/>
      <c r="E11" s="10" t="s">
        <v>8</v>
      </c>
      <c r="F11" s="10"/>
      <c r="G11" s="6"/>
      <c r="H11" s="7"/>
      <c r="I11" s="6"/>
    </row>
    <row r="12" spans="1:11" s="29" customFormat="1">
      <c r="A12" s="15" t="s">
        <v>9</v>
      </c>
      <c r="B12" s="15" t="s">
        <v>10</v>
      </c>
      <c r="C12" s="15" t="s">
        <v>11</v>
      </c>
      <c r="D12" s="15" t="s">
        <v>21</v>
      </c>
      <c r="E12" s="15" t="s">
        <v>12</v>
      </c>
      <c r="F12" s="15" t="s">
        <v>13</v>
      </c>
      <c r="G12" s="15" t="s">
        <v>14</v>
      </c>
      <c r="H12" s="15" t="s">
        <v>15</v>
      </c>
      <c r="I12" s="28" t="s">
        <v>15</v>
      </c>
      <c r="J12" s="28" t="s">
        <v>15</v>
      </c>
    </row>
    <row r="13" spans="1:11">
      <c r="A13" s="16"/>
      <c r="B13" s="14"/>
      <c r="C13" s="14"/>
      <c r="D13" s="14"/>
      <c r="E13" s="14"/>
      <c r="F13" s="14"/>
      <c r="G13" s="14"/>
      <c r="H13" s="15" t="s">
        <v>16</v>
      </c>
      <c r="I13" s="14" t="s">
        <v>17</v>
      </c>
      <c r="J13" s="14" t="s">
        <v>18</v>
      </c>
    </row>
    <row r="14" spans="1:11">
      <c r="A14" s="16" t="s">
        <v>29</v>
      </c>
      <c r="B14" s="61" t="s">
        <v>45</v>
      </c>
      <c r="C14" s="62">
        <v>13</v>
      </c>
      <c r="D14" s="33">
        <v>13</v>
      </c>
      <c r="E14" s="33">
        <v>90</v>
      </c>
      <c r="F14" s="33">
        <v>145</v>
      </c>
      <c r="G14" s="33">
        <v>30</v>
      </c>
      <c r="H14" s="33">
        <f>G14*F14*E14*D14/1000000</f>
        <v>5.0895000000000001</v>
      </c>
      <c r="I14" s="33">
        <v>1040</v>
      </c>
      <c r="J14" s="33">
        <f>I14-20</f>
        <v>1020</v>
      </c>
      <c r="K14" s="37"/>
    </row>
    <row r="15" spans="1:11">
      <c r="A15" s="38" t="s">
        <v>30</v>
      </c>
      <c r="B15" s="59" t="s">
        <v>46</v>
      </c>
      <c r="C15" s="60">
        <v>13</v>
      </c>
      <c r="D15" s="33">
        <v>13</v>
      </c>
      <c r="E15" s="33">
        <v>150</v>
      </c>
      <c r="F15" s="33">
        <v>240</v>
      </c>
      <c r="G15" s="33">
        <v>40</v>
      </c>
      <c r="H15" s="33">
        <f t="shared" ref="H15:H22" si="0">G15*F15*E15*D15/1000000</f>
        <v>18.72</v>
      </c>
      <c r="I15" s="33">
        <v>1040</v>
      </c>
      <c r="J15" s="33">
        <f t="shared" ref="J15:J30" si="1">I15-20</f>
        <v>1020</v>
      </c>
      <c r="K15" s="37"/>
    </row>
    <row r="16" spans="1:11">
      <c r="A16" s="38" t="s">
        <v>31</v>
      </c>
      <c r="B16" s="59" t="s">
        <v>47</v>
      </c>
      <c r="C16" s="60">
        <v>13</v>
      </c>
      <c r="D16" s="33">
        <v>13</v>
      </c>
      <c r="E16" s="33">
        <v>50</v>
      </c>
      <c r="F16" s="33">
        <v>185</v>
      </c>
      <c r="G16" s="33">
        <v>30</v>
      </c>
      <c r="H16" s="33">
        <f t="shared" si="0"/>
        <v>3.6074999999999999</v>
      </c>
      <c r="I16" s="33">
        <v>390</v>
      </c>
      <c r="J16" s="33">
        <f t="shared" si="1"/>
        <v>370</v>
      </c>
      <c r="K16" s="37"/>
    </row>
    <row r="17" spans="1:11">
      <c r="A17" s="38" t="s">
        <v>32</v>
      </c>
      <c r="B17" s="61" t="s">
        <v>48</v>
      </c>
      <c r="C17" s="62">
        <v>13</v>
      </c>
      <c r="D17" s="33">
        <v>13</v>
      </c>
      <c r="E17" s="33">
        <v>40</v>
      </c>
      <c r="F17" s="33">
        <v>95</v>
      </c>
      <c r="G17" s="33">
        <v>40</v>
      </c>
      <c r="H17" s="33">
        <f t="shared" si="0"/>
        <v>1.976</v>
      </c>
      <c r="I17" s="33">
        <v>65</v>
      </c>
      <c r="J17" s="33">
        <f t="shared" si="1"/>
        <v>45</v>
      </c>
      <c r="K17" s="37"/>
    </row>
    <row r="18" spans="1:11">
      <c r="A18" s="38" t="s">
        <v>33</v>
      </c>
      <c r="B18" s="61" t="s">
        <v>50</v>
      </c>
      <c r="C18" s="62">
        <v>6</v>
      </c>
      <c r="D18" s="33">
        <v>6</v>
      </c>
      <c r="E18" s="33">
        <v>120</v>
      </c>
      <c r="F18" s="33">
        <v>220</v>
      </c>
      <c r="G18" s="33">
        <v>60</v>
      </c>
      <c r="H18" s="33">
        <f t="shared" si="0"/>
        <v>9.5039999999999996</v>
      </c>
      <c r="I18" s="33">
        <v>600</v>
      </c>
      <c r="J18" s="33">
        <f t="shared" si="1"/>
        <v>580</v>
      </c>
      <c r="K18" s="37"/>
    </row>
    <row r="19" spans="1:11">
      <c r="A19" s="38" t="s">
        <v>34</v>
      </c>
      <c r="B19" s="61" t="s">
        <v>59</v>
      </c>
      <c r="C19" s="62">
        <v>7</v>
      </c>
      <c r="D19" s="33">
        <v>7</v>
      </c>
      <c r="E19" s="33">
        <v>120</v>
      </c>
      <c r="F19" s="33">
        <v>220</v>
      </c>
      <c r="G19" s="33">
        <v>60</v>
      </c>
      <c r="H19" s="33">
        <f t="shared" si="0"/>
        <v>11.087999999999999</v>
      </c>
      <c r="I19" s="33">
        <v>700</v>
      </c>
      <c r="J19" s="33">
        <f t="shared" si="1"/>
        <v>680</v>
      </c>
      <c r="K19" s="37"/>
    </row>
    <row r="20" spans="1:11">
      <c r="A20" s="38" t="s">
        <v>35</v>
      </c>
      <c r="B20" s="63" t="s">
        <v>49</v>
      </c>
      <c r="C20" s="64">
        <v>15</v>
      </c>
      <c r="D20" s="33">
        <v>15</v>
      </c>
      <c r="E20" s="33">
        <v>60</v>
      </c>
      <c r="F20" s="33">
        <v>75</v>
      </c>
      <c r="G20" s="33">
        <v>25</v>
      </c>
      <c r="H20" s="33">
        <f t="shared" si="0"/>
        <v>1.6875</v>
      </c>
      <c r="I20" s="33">
        <v>75</v>
      </c>
      <c r="J20" s="33">
        <f t="shared" si="1"/>
        <v>55</v>
      </c>
      <c r="K20" s="37"/>
    </row>
    <row r="21" spans="1:11">
      <c r="A21" s="38" t="s">
        <v>36</v>
      </c>
      <c r="B21" s="63" t="s">
        <v>52</v>
      </c>
      <c r="C21" s="63">
        <v>6</v>
      </c>
      <c r="D21" s="33">
        <v>6</v>
      </c>
      <c r="E21" s="33">
        <v>80</v>
      </c>
      <c r="F21" s="33">
        <v>80</v>
      </c>
      <c r="G21" s="33">
        <v>185</v>
      </c>
      <c r="H21" s="33">
        <f t="shared" si="0"/>
        <v>7.1040000000000001</v>
      </c>
      <c r="I21" s="33">
        <v>600</v>
      </c>
      <c r="J21" s="33">
        <f t="shared" si="1"/>
        <v>580</v>
      </c>
      <c r="K21" s="37"/>
    </row>
    <row r="22" spans="1:11">
      <c r="A22" s="38" t="s">
        <v>37</v>
      </c>
      <c r="B22" s="59" t="s">
        <v>60</v>
      </c>
      <c r="C22" s="60">
        <v>7</v>
      </c>
      <c r="D22" s="33">
        <v>7</v>
      </c>
      <c r="E22" s="33">
        <v>80</v>
      </c>
      <c r="F22" s="33">
        <v>80</v>
      </c>
      <c r="G22" s="33">
        <v>185</v>
      </c>
      <c r="H22" s="33">
        <f t="shared" si="0"/>
        <v>8.2880000000000003</v>
      </c>
      <c r="I22" s="33">
        <v>700</v>
      </c>
      <c r="J22" s="33">
        <f t="shared" si="1"/>
        <v>680</v>
      </c>
      <c r="K22" s="37"/>
    </row>
    <row r="23" spans="1:11">
      <c r="A23" s="38" t="s">
        <v>38</v>
      </c>
      <c r="B23" s="61" t="s">
        <v>53</v>
      </c>
      <c r="C23" s="61">
        <v>13</v>
      </c>
      <c r="D23" s="33">
        <v>13</v>
      </c>
      <c r="E23" s="33">
        <v>105</v>
      </c>
      <c r="F23" s="33">
        <v>125</v>
      </c>
      <c r="G23" s="33">
        <v>20</v>
      </c>
      <c r="H23" s="33">
        <f t="shared" ref="H23:H29" si="2">G23*F23*E23*D23/1000000</f>
        <v>3.4125000000000001</v>
      </c>
      <c r="I23" s="33">
        <v>325</v>
      </c>
      <c r="J23" s="33">
        <f t="shared" si="1"/>
        <v>305</v>
      </c>
      <c r="K23" s="37"/>
    </row>
    <row r="24" spans="1:11">
      <c r="A24" s="38" t="s">
        <v>39</v>
      </c>
      <c r="B24" s="63" t="s">
        <v>54</v>
      </c>
      <c r="C24" s="63">
        <v>13</v>
      </c>
      <c r="D24" s="33">
        <v>13</v>
      </c>
      <c r="E24" s="33">
        <v>90</v>
      </c>
      <c r="F24" s="33">
        <v>200</v>
      </c>
      <c r="G24" s="33">
        <v>15</v>
      </c>
      <c r="H24" s="33">
        <f t="shared" si="2"/>
        <v>3.51</v>
      </c>
      <c r="I24" s="33">
        <v>650</v>
      </c>
      <c r="J24" s="33">
        <f t="shared" si="1"/>
        <v>630</v>
      </c>
      <c r="K24" s="37"/>
    </row>
    <row r="25" spans="1:11">
      <c r="A25" s="38" t="s">
        <v>40</v>
      </c>
      <c r="B25" s="59" t="s">
        <v>55</v>
      </c>
      <c r="C25" s="60">
        <v>6</v>
      </c>
      <c r="D25" s="33">
        <v>6</v>
      </c>
      <c r="E25" s="33">
        <v>85</v>
      </c>
      <c r="F25" s="33">
        <v>65</v>
      </c>
      <c r="G25" s="33">
        <v>75</v>
      </c>
      <c r="H25" s="33">
        <f t="shared" si="2"/>
        <v>2.4862500000000001</v>
      </c>
      <c r="I25" s="33">
        <v>300</v>
      </c>
      <c r="J25" s="33">
        <f t="shared" si="1"/>
        <v>280</v>
      </c>
      <c r="K25" s="37"/>
    </row>
    <row r="26" spans="1:11">
      <c r="A26" s="38" t="s">
        <v>41</v>
      </c>
      <c r="B26" s="59" t="s">
        <v>61</v>
      </c>
      <c r="C26" s="60">
        <v>7</v>
      </c>
      <c r="D26" s="33">
        <v>7</v>
      </c>
      <c r="E26" s="33">
        <v>85</v>
      </c>
      <c r="F26" s="33">
        <v>70</v>
      </c>
      <c r="G26" s="33">
        <v>75</v>
      </c>
      <c r="H26" s="33">
        <f t="shared" si="2"/>
        <v>3.1237499999999998</v>
      </c>
      <c r="I26" s="33">
        <v>350</v>
      </c>
      <c r="J26" s="33">
        <f t="shared" si="1"/>
        <v>330</v>
      </c>
      <c r="K26" s="37"/>
    </row>
    <row r="27" spans="1:11">
      <c r="A27" s="38" t="s">
        <v>42</v>
      </c>
      <c r="B27" s="59" t="s">
        <v>56</v>
      </c>
      <c r="C27" s="60">
        <v>13</v>
      </c>
      <c r="D27" s="33">
        <v>13</v>
      </c>
      <c r="E27" s="33">
        <v>40</v>
      </c>
      <c r="F27" s="33">
        <v>245</v>
      </c>
      <c r="G27" s="33">
        <v>40</v>
      </c>
      <c r="H27" s="33">
        <f t="shared" si="2"/>
        <v>5.0960000000000001</v>
      </c>
      <c r="I27" s="33">
        <v>390</v>
      </c>
      <c r="J27" s="33">
        <f t="shared" si="1"/>
        <v>370</v>
      </c>
      <c r="K27" s="37"/>
    </row>
    <row r="28" spans="1:11">
      <c r="A28" s="38" t="s">
        <v>43</v>
      </c>
      <c r="B28" s="59" t="s">
        <v>57</v>
      </c>
      <c r="C28" s="60">
        <v>13</v>
      </c>
      <c r="D28" s="33">
        <v>13</v>
      </c>
      <c r="E28" s="33">
        <v>40</v>
      </c>
      <c r="F28" s="33">
        <v>245</v>
      </c>
      <c r="G28" s="33">
        <v>40</v>
      </c>
      <c r="H28" s="33">
        <f t="shared" si="2"/>
        <v>5.0960000000000001</v>
      </c>
      <c r="I28" s="33">
        <v>390</v>
      </c>
      <c r="J28" s="33">
        <f t="shared" si="1"/>
        <v>370</v>
      </c>
      <c r="K28" s="37"/>
    </row>
    <row r="29" spans="1:11">
      <c r="A29" s="38" t="s">
        <v>44</v>
      </c>
      <c r="B29" s="61" t="s">
        <v>58</v>
      </c>
      <c r="C29" s="61">
        <v>455</v>
      </c>
      <c r="D29" s="33">
        <v>455</v>
      </c>
      <c r="E29" s="33">
        <v>20</v>
      </c>
      <c r="F29" s="33">
        <v>310</v>
      </c>
      <c r="G29" s="33">
        <v>6</v>
      </c>
      <c r="H29" s="33">
        <f t="shared" si="2"/>
        <v>16.925999999999998</v>
      </c>
      <c r="I29" s="33">
        <v>4550</v>
      </c>
      <c r="J29" s="33">
        <f t="shared" si="1"/>
        <v>4530</v>
      </c>
      <c r="K29" s="37"/>
    </row>
    <row r="30" spans="1:11">
      <c r="A30" s="38" t="s">
        <v>62</v>
      </c>
      <c r="B30" s="61" t="s">
        <v>51</v>
      </c>
      <c r="C30" s="61">
        <v>13</v>
      </c>
      <c r="D30" s="33">
        <v>13</v>
      </c>
      <c r="E30" s="33">
        <v>60</v>
      </c>
      <c r="F30" s="33">
        <v>150</v>
      </c>
      <c r="G30" s="33">
        <v>55</v>
      </c>
      <c r="H30" s="33">
        <f t="shared" ref="H30" si="3">G30*F30*E30*D30/1000000</f>
        <v>6.4349999999999996</v>
      </c>
      <c r="I30" s="40">
        <v>606.66666666666663</v>
      </c>
      <c r="J30" s="33">
        <f t="shared" si="1"/>
        <v>586.66666666666663</v>
      </c>
      <c r="K30" s="37"/>
    </row>
    <row r="31" spans="1:11">
      <c r="A31" s="38" t="s">
        <v>63</v>
      </c>
      <c r="B31" s="59" t="s">
        <v>64</v>
      </c>
      <c r="C31" s="60">
        <v>3</v>
      </c>
      <c r="D31" s="42">
        <v>6</v>
      </c>
      <c r="E31" s="42">
        <v>100</v>
      </c>
      <c r="F31" s="42">
        <v>200</v>
      </c>
      <c r="G31" s="42">
        <v>140</v>
      </c>
      <c r="H31" s="42">
        <f>G31*F31*E31*D31/1000000</f>
        <v>16.8</v>
      </c>
      <c r="I31" s="56">
        <v>450</v>
      </c>
      <c r="J31" s="42">
        <v>300</v>
      </c>
      <c r="K31" s="45" t="s">
        <v>69</v>
      </c>
    </row>
    <row r="32" spans="1:11">
      <c r="A32" s="38" t="s">
        <v>65</v>
      </c>
      <c r="B32" s="59" t="s">
        <v>66</v>
      </c>
      <c r="C32" s="60">
        <v>7</v>
      </c>
      <c r="D32" s="43"/>
      <c r="E32" s="43"/>
      <c r="F32" s="43"/>
      <c r="G32" s="43"/>
      <c r="H32" s="43"/>
      <c r="I32" s="57"/>
      <c r="J32" s="43"/>
      <c r="K32" s="45"/>
    </row>
    <row r="33" spans="1:11">
      <c r="A33" s="38" t="s">
        <v>67</v>
      </c>
      <c r="B33" s="59" t="s">
        <v>68</v>
      </c>
      <c r="C33" s="60">
        <v>3</v>
      </c>
      <c r="D33" s="44"/>
      <c r="E33" s="44"/>
      <c r="F33" s="44"/>
      <c r="G33" s="44"/>
      <c r="H33" s="44"/>
      <c r="I33" s="58"/>
      <c r="J33" s="44"/>
      <c r="K33" s="45"/>
    </row>
    <row r="34" spans="1:11">
      <c r="A34" s="17"/>
      <c r="B34" s="18"/>
      <c r="C34" s="15">
        <f>SUM(C14:C33)</f>
        <v>639</v>
      </c>
      <c r="D34" s="15">
        <f>SUM(D14:D33)</f>
        <v>632</v>
      </c>
      <c r="E34" s="16"/>
      <c r="F34" s="16"/>
      <c r="G34" s="16"/>
      <c r="H34" s="34">
        <f>SUM(H14:H33)</f>
        <v>129.95000000000002</v>
      </c>
      <c r="I34" s="41">
        <f>SUM(I14:I33)</f>
        <v>13221.666666666666</v>
      </c>
      <c r="J34" s="41">
        <f>SUM(J14:J33)</f>
        <v>12731.666666666666</v>
      </c>
    </row>
    <row r="35" spans="1:11">
      <c r="A35" s="19"/>
      <c r="B35" s="20"/>
      <c r="C35" s="20"/>
      <c r="D35" s="21"/>
      <c r="E35" s="21"/>
      <c r="F35" s="21"/>
      <c r="G35" s="21"/>
      <c r="H35" s="21"/>
      <c r="I35" s="22"/>
      <c r="J35" s="21"/>
    </row>
    <row r="36" spans="1:11">
      <c r="A36" s="19"/>
      <c r="B36" s="20"/>
      <c r="C36" s="23" t="s">
        <v>19</v>
      </c>
      <c r="D36" s="21"/>
      <c r="E36" s="21"/>
      <c r="F36" s="21"/>
      <c r="G36" s="21" t="s">
        <v>20</v>
      </c>
      <c r="H36" s="21"/>
      <c r="I36" s="21"/>
      <c r="J36" s="21"/>
    </row>
    <row r="37" spans="1:11">
      <c r="A37" s="19"/>
      <c r="B37" s="35" t="s">
        <v>24</v>
      </c>
      <c r="C37" s="50">
        <f>D34</f>
        <v>632</v>
      </c>
      <c r="D37" s="51"/>
    </row>
    <row r="38" spans="1:11">
      <c r="B38" s="35" t="s">
        <v>25</v>
      </c>
      <c r="C38" s="54">
        <f>I34</f>
        <v>13221.666666666666</v>
      </c>
      <c r="D38" s="55"/>
    </row>
    <row r="39" spans="1:11">
      <c r="B39" s="35" t="s">
        <v>26</v>
      </c>
      <c r="C39" s="54">
        <f>J34</f>
        <v>12731.666666666666</v>
      </c>
      <c r="D39" s="55"/>
      <c r="G39" s="24"/>
      <c r="H39" s="25"/>
    </row>
    <row r="40" spans="1:11">
      <c r="B40" s="36" t="s">
        <v>27</v>
      </c>
      <c r="C40" s="46"/>
      <c r="D40" s="47"/>
      <c r="E40" s="4"/>
      <c r="F40" s="4"/>
      <c r="G40" s="26"/>
    </row>
    <row r="41" spans="1:11">
      <c r="B41" s="36" t="s">
        <v>28</v>
      </c>
      <c r="C41" s="46"/>
      <c r="D41" s="47"/>
      <c r="E41" s="4"/>
      <c r="F41" s="4"/>
      <c r="G41" s="4"/>
    </row>
    <row r="43" spans="1:11">
      <c r="B43" s="27"/>
    </row>
    <row r="44" spans="1:11">
      <c r="B44" s="27"/>
    </row>
  </sheetData>
  <mergeCells count="17">
    <mergeCell ref="I31:I33"/>
    <mergeCell ref="J31:J33"/>
    <mergeCell ref="K31:K33"/>
    <mergeCell ref="C40:D40"/>
    <mergeCell ref="C41:D41"/>
    <mergeCell ref="A1:J1"/>
    <mergeCell ref="I2:J2"/>
    <mergeCell ref="C37:D37"/>
    <mergeCell ref="G3:J3"/>
    <mergeCell ref="I4:J4"/>
    <mergeCell ref="C38:D38"/>
    <mergeCell ref="C39:D39"/>
    <mergeCell ref="D31:D33"/>
    <mergeCell ref="H31:H33"/>
    <mergeCell ref="E31:E33"/>
    <mergeCell ref="F31:F33"/>
    <mergeCell ref="G31:G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Cevdet SANCAK</dc:creator>
  <cp:lastModifiedBy>Beyza MEDAR</cp:lastModifiedBy>
  <dcterms:created xsi:type="dcterms:W3CDTF">2022-06-21T05:34:07Z</dcterms:created>
  <dcterms:modified xsi:type="dcterms:W3CDTF">2026-04-01T14:13:24Z</dcterms:modified>
</cp:coreProperties>
</file>